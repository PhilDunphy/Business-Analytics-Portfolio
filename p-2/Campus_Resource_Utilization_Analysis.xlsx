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Utilization Metrics" sheetId="2" state="visible" r:id="rId2"/>
    <sheet name="Optimization Scenarios" sheetId="3" state="visible" r:id="rId3"/>
    <sheet name="Dashboard" sheetId="4" state="visible" r:id="rId4"/>
    <sheet name="Consulting Insights" sheetId="5" state="visible" r:id="rId5"/>
    <sheet name="Proj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FFFFFF"/>
      <sz val="11"/>
    </font>
    <font>
      <color rgb="00D4A853"/>
    </font>
    <font>
      <b val="1"/>
      <color rgb="00E74C3C"/>
    </font>
    <font>
      <name val="Calibri"/>
      <b val="1"/>
      <color rgb="001A6B5C"/>
      <sz val="13"/>
    </font>
    <font>
      <name val="Calibri"/>
      <b val="1"/>
      <color rgb="001B2A4A"/>
      <sz val="20"/>
    </font>
    <font>
      <name val="Calibri"/>
      <b val="1"/>
      <color rgb="00FFFFFF"/>
      <sz val="10"/>
    </font>
    <font>
      <name val="Calibri"/>
      <b val="1"/>
      <color rgb="001A6B5C"/>
      <sz val="14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Utilization % by Facility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'Utilization Metrics'!E3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C4B6"/>
              </a:solidFill>
              <a:ln>
                <a:prstDash val="solid"/>
              </a:ln>
            </spPr>
          </dPt>
          <dPt>
            <idx val="1"/>
            <spPr>
              <a:solidFill>
                <a:srgbClr val="1B2A4A"/>
              </a:solidFill>
              <a:ln>
                <a:prstDash val="solid"/>
              </a:ln>
            </spPr>
          </dPt>
          <dPt>
            <idx val="2"/>
            <spPr>
              <a:solidFill>
                <a:srgbClr val="D4A853"/>
              </a:solidFill>
              <a:ln>
                <a:prstDash val="solid"/>
              </a:ln>
            </spPr>
          </dPt>
          <dPt>
            <idx val="3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4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5"/>
            <spPr>
              <a:solidFill>
                <a:srgbClr val="8E44AD"/>
              </a:solidFill>
              <a:ln>
                <a:prstDash val="solid"/>
              </a:ln>
            </spPr>
          </dPt>
          <dPt>
            <idx val="6"/>
            <spPr>
              <a:solidFill>
                <a:srgbClr val="3498DB"/>
              </a:solidFill>
              <a:ln>
                <a:prstDash val="solid"/>
              </a:ln>
            </spPr>
          </dPt>
          <cat>
            <numRef>
              <f>'Utilization Metrics'!$A$4:$A$10</f>
            </numRef>
          </cat>
          <val>
            <numRef>
              <f>'Utilization Metrics'!$E$4:$E$10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Utilization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Peak vs Average Utilization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'Utilization Metrics'!D3</f>
            </strRef>
          </tx>
          <spPr>
            <a:ln>
              <a:prstDash val="solid"/>
            </a:ln>
          </spPr>
          <cat>
            <numRef>
              <f>'Utilization Metrics'!$A$4:$A$10</f>
            </numRef>
          </cat>
          <val>
            <numRef>
              <f>'Utilization Metrics'!$D$4:$D$10</f>
            </numRef>
          </val>
        </ser>
        <ser>
          <idx val="1"/>
          <order val="1"/>
          <tx>
            <strRef>
              <f>'Utilization Metrics'!E3</f>
            </strRef>
          </tx>
          <spPr>
            <a:ln>
              <a:prstDash val="solid"/>
            </a:ln>
          </spPr>
          <cat>
            <numRef>
              <f>'Utilization Metrics'!$A$4:$A$10</f>
            </numRef>
          </cat>
          <val>
            <numRef>
              <f>'Utilization Metrics'!$E$4:$E$10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Utilization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Utilization %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'Optimization Scenarios'!B3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B2A4A"/>
              </a:solidFill>
              <a:ln>
                <a:prstDash val="solid"/>
              </a:ln>
            </spPr>
          </dPt>
          <dPt>
            <idx val="1"/>
            <spPr>
              <a:solidFill>
                <a:srgbClr val="1B2A4A"/>
              </a:solidFill>
              <a:ln>
                <a:prstDash val="solid"/>
              </a:ln>
            </spPr>
          </dPt>
          <dPt>
            <idx val="2"/>
            <spPr>
              <a:solidFill>
                <a:srgbClr val="1B2A4A"/>
              </a:solidFill>
              <a:ln>
                <a:prstDash val="solid"/>
              </a:ln>
            </spPr>
          </dPt>
          <dPt>
            <idx val="3"/>
            <spPr>
              <a:solidFill>
                <a:srgbClr val="1B2A4A"/>
              </a:solidFill>
              <a:ln>
                <a:prstDash val="solid"/>
              </a:ln>
            </spPr>
          </dPt>
          <dPt>
            <idx val="4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5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6"/>
            <spPr>
              <a:solidFill>
                <a:srgbClr val="D4A853"/>
              </a:solidFill>
              <a:ln>
                <a:prstDash val="solid"/>
              </a:ln>
            </spPr>
          </dPt>
          <cat>
            <numRef>
              <f>'Optimization Scenarios'!$A$4:$A$10</f>
            </numRef>
          </cat>
          <val>
            <numRef>
              <f>'Optimization Scenarios'!$B$4:$B$10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Utilization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per Person-Hour (₹)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'Optimization Scenarios'!G3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1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2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3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4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5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6"/>
            <spPr>
              <a:solidFill>
                <a:srgbClr val="D4A853"/>
              </a:solidFill>
              <a:ln>
                <a:prstDash val="solid"/>
              </a:ln>
            </spPr>
          </dPt>
          <cat>
            <numRef>
              <f>'Optimization Scenarios'!$A$4:$A$10</f>
            </numRef>
          </cat>
          <val>
            <numRef>
              <f>'Optimization Scenarios'!$G$4:$G$10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/ Person-Hr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Capacity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B2A4A"/>
              </a:solidFill>
              <a:ln>
                <a:prstDash val="solid"/>
              </a:ln>
            </spPr>
          </dPt>
          <dPt>
            <idx val="1"/>
            <spPr>
              <a:solidFill>
                <a:srgbClr val="2EC4B6"/>
              </a:solidFill>
              <a:ln>
                <a:prstDash val="solid"/>
              </a:ln>
            </spPr>
          </dPt>
          <dPt>
            <idx val="2"/>
            <spPr>
              <a:solidFill>
                <a:srgbClr val="D4A853"/>
              </a:solidFill>
              <a:ln>
                <a:prstDash val="solid"/>
              </a:ln>
            </spPr>
          </dPt>
          <dPt>
            <idx val="3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4"/>
            <spPr>
              <a:solidFill>
                <a:srgbClr val="3498DB"/>
              </a:solidFill>
              <a:ln>
                <a:prstDash val="solid"/>
              </a:ln>
            </spPr>
          </dPt>
          <dPt>
            <idx val="5"/>
            <spPr>
              <a:solidFill>
                <a:srgbClr val="8E44AD"/>
              </a:solidFill>
              <a:ln>
                <a:prstDash val="solid"/>
              </a:ln>
            </spPr>
          </dPt>
          <dPt>
            <idx val="6"/>
            <spPr>
              <a:solidFill>
                <a:srgbClr val="27AE60"/>
              </a:solidFill>
              <a:ln>
                <a:prstDash val="solid"/>
              </a:ln>
            </spPr>
          </dPt>
          <cat>
            <numRef>
              <f>'Dashboard'!$A$8:$A$14</f>
            </numRef>
          </cat>
          <val>
            <numRef>
              <f>'Dashboard'!$B$8:$B$14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Daily Person-Hours by Facility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B2A4A"/>
              </a:solidFill>
              <a:ln>
                <a:prstDash val="solid"/>
              </a:ln>
            </spPr>
          </dPt>
          <dPt>
            <idx val="1"/>
            <spPr>
              <a:solidFill>
                <a:srgbClr val="2EC4B6"/>
              </a:solidFill>
              <a:ln>
                <a:prstDash val="solid"/>
              </a:ln>
            </spPr>
          </dPt>
          <dPt>
            <idx val="2"/>
            <spPr>
              <a:solidFill>
                <a:srgbClr val="D4A853"/>
              </a:solidFill>
              <a:ln>
                <a:prstDash val="solid"/>
              </a:ln>
            </spPr>
          </dPt>
          <dPt>
            <idx val="3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4"/>
            <spPr>
              <a:solidFill>
                <a:srgbClr val="3498DB"/>
              </a:solidFill>
              <a:ln>
                <a:prstDash val="solid"/>
              </a:ln>
            </spPr>
          </dPt>
          <dPt>
            <idx val="5"/>
            <spPr>
              <a:solidFill>
                <a:srgbClr val="8E44AD"/>
              </a:solidFill>
              <a:ln>
                <a:prstDash val="solid"/>
              </a:ln>
            </spPr>
          </dPt>
          <dPt>
            <idx val="6"/>
            <spPr>
              <a:solidFill>
                <a:srgbClr val="27AE60"/>
              </a:solidFill>
              <a:ln>
                <a:prstDash val="solid"/>
              </a:ln>
            </spPr>
          </dPt>
          <cat>
            <numRef>
              <f>'Dashboard'!$A$18:$A$24</f>
            </numRef>
          </cat>
          <val>
            <numRef>
              <f>'Dashboard'!$B$18:$B$24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Person-Hours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1008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72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30" customHeight="1">
      <c r="A1" s="1" t="inlineStr">
        <is>
          <t>Campus Facility — Hourly Usage Data</t>
        </is>
      </c>
    </row>
    <row r="2"/>
    <row r="3">
      <c r="A3" s="2" t="inlineStr">
        <is>
          <t>Facility</t>
        </is>
      </c>
      <c r="B3" s="2" t="inlineStr">
        <is>
          <t>Max Capacity</t>
        </is>
      </c>
      <c r="C3" s="2" t="inlineStr">
        <is>
          <t>6:00</t>
        </is>
      </c>
      <c r="D3" s="2" t="inlineStr">
        <is>
          <t>7:00</t>
        </is>
      </c>
      <c r="E3" s="2" t="inlineStr">
        <is>
          <t>8:00</t>
        </is>
      </c>
      <c r="F3" s="2" t="inlineStr">
        <is>
          <t>9:00</t>
        </is>
      </c>
      <c r="G3" s="2" t="inlineStr">
        <is>
          <t>10:00</t>
        </is>
      </c>
      <c r="H3" s="2" t="inlineStr">
        <is>
          <t>11:00</t>
        </is>
      </c>
      <c r="I3" s="2" t="inlineStr">
        <is>
          <t>12:00</t>
        </is>
      </c>
      <c r="J3" s="2" t="inlineStr">
        <is>
          <t>13:00</t>
        </is>
      </c>
      <c r="K3" s="2" t="inlineStr">
        <is>
          <t>14:00</t>
        </is>
      </c>
      <c r="L3" s="2" t="inlineStr">
        <is>
          <t>15:00</t>
        </is>
      </c>
      <c r="M3" s="2" t="inlineStr">
        <is>
          <t>16:00</t>
        </is>
      </c>
      <c r="N3" s="2" t="inlineStr">
        <is>
          <t>17:00</t>
        </is>
      </c>
      <c r="O3" s="2" t="inlineStr">
        <is>
          <t>18:00</t>
        </is>
      </c>
      <c r="P3" s="2" t="inlineStr">
        <is>
          <t>19:00</t>
        </is>
      </c>
      <c r="Q3" s="2" t="inlineStr">
        <is>
          <t>20:00</t>
        </is>
      </c>
      <c r="R3" s="2" t="inlineStr">
        <is>
          <t>21:00</t>
        </is>
      </c>
      <c r="S3" s="2" t="inlineStr">
        <is>
          <t>22:00</t>
        </is>
      </c>
      <c r="T3" s="2" t="inlineStr">
        <is>
          <t>23:00</t>
        </is>
      </c>
    </row>
    <row r="4">
      <c r="A4" s="3" t="inlineStr">
        <is>
          <t>Gymnasium</t>
        </is>
      </c>
      <c r="B4" s="3" t="n">
        <v>60</v>
      </c>
      <c r="C4" s="3" t="n">
        <v>8</v>
      </c>
      <c r="D4" s="3" t="n">
        <v>25</v>
      </c>
      <c r="E4" s="4" t="n">
        <v>35</v>
      </c>
      <c r="F4" s="3" t="n">
        <v>15</v>
      </c>
      <c r="G4" s="3" t="n">
        <v>10</v>
      </c>
      <c r="H4" s="3" t="n">
        <v>12</v>
      </c>
      <c r="I4" s="3" t="n">
        <v>18</v>
      </c>
      <c r="J4" s="3" t="n">
        <v>22</v>
      </c>
      <c r="K4" s="3" t="n">
        <v>30</v>
      </c>
      <c r="L4" s="4" t="n">
        <v>45</v>
      </c>
      <c r="M4" s="4" t="n">
        <v>50</v>
      </c>
      <c r="N4" s="4" t="n">
        <v>38</v>
      </c>
      <c r="O4" s="3" t="n">
        <v>28</v>
      </c>
      <c r="P4" s="3" t="n">
        <v>15</v>
      </c>
      <c r="Q4" s="3" t="n">
        <v>10</v>
      </c>
      <c r="R4" s="3" t="n">
        <v>8</v>
      </c>
      <c r="S4" s="3" t="n">
        <v>20</v>
      </c>
      <c r="T4" s="4" t="n">
        <v>35</v>
      </c>
    </row>
    <row r="5">
      <c r="A5" s="5" t="inlineStr">
        <is>
          <t>Central Library</t>
        </is>
      </c>
      <c r="B5" s="5" t="n">
        <v>200</v>
      </c>
      <c r="C5" s="5" t="n">
        <v>15</v>
      </c>
      <c r="D5" s="5" t="n">
        <v>30</v>
      </c>
      <c r="E5" s="5" t="n">
        <v>60</v>
      </c>
      <c r="F5" s="5" t="n">
        <v>90</v>
      </c>
      <c r="G5" s="6" t="n">
        <v>120</v>
      </c>
      <c r="H5" s="6" t="n">
        <v>140</v>
      </c>
      <c r="I5" s="6" t="n">
        <v>150</v>
      </c>
      <c r="J5" s="6" t="n">
        <v>165</v>
      </c>
      <c r="K5" s="6" t="n">
        <v>170</v>
      </c>
      <c r="L5" s="7" t="n">
        <v>180</v>
      </c>
      <c r="M5" s="7" t="n">
        <v>175</v>
      </c>
      <c r="N5" s="6" t="n">
        <v>160</v>
      </c>
      <c r="O5" s="6" t="n">
        <v>130</v>
      </c>
      <c r="P5" s="5" t="n">
        <v>100</v>
      </c>
      <c r="Q5" s="5" t="n">
        <v>80</v>
      </c>
      <c r="R5" s="5" t="n">
        <v>60</v>
      </c>
      <c r="S5" s="5" t="n">
        <v>45</v>
      </c>
      <c r="T5" s="5" t="n">
        <v>25</v>
      </c>
    </row>
    <row r="6">
      <c r="A6" s="3" t="inlineStr">
        <is>
          <t>Computer Lab A</t>
        </is>
      </c>
      <c r="B6" s="3" t="n">
        <v>80</v>
      </c>
      <c r="C6" s="3" t="n">
        <v>5</v>
      </c>
      <c r="D6" s="3" t="n">
        <v>10</v>
      </c>
      <c r="E6" s="4" t="n">
        <v>55</v>
      </c>
      <c r="F6" s="8" t="n">
        <v>70</v>
      </c>
      <c r="G6" s="8" t="n">
        <v>75</v>
      </c>
      <c r="H6" s="8" t="n">
        <v>72</v>
      </c>
      <c r="I6" s="4" t="n">
        <v>68</v>
      </c>
      <c r="J6" s="4" t="n">
        <v>65</v>
      </c>
      <c r="K6" s="4" t="n">
        <v>60</v>
      </c>
      <c r="L6" s="4" t="n">
        <v>55</v>
      </c>
      <c r="M6" s="4" t="n">
        <v>50</v>
      </c>
      <c r="N6" s="4" t="n">
        <v>45</v>
      </c>
      <c r="O6" s="3" t="n">
        <v>35</v>
      </c>
      <c r="P6" s="3" t="n">
        <v>25</v>
      </c>
      <c r="Q6" s="3" t="n">
        <v>15</v>
      </c>
      <c r="R6" s="3" t="n">
        <v>10</v>
      </c>
      <c r="S6" s="3" t="n">
        <v>8</v>
      </c>
      <c r="T6" s="3" t="n">
        <v>5</v>
      </c>
    </row>
    <row r="7">
      <c r="A7" s="5" t="inlineStr">
        <is>
          <t>Computer Lab B</t>
        </is>
      </c>
      <c r="B7" s="5" t="n">
        <v>80</v>
      </c>
      <c r="C7" s="5" t="n">
        <v>0</v>
      </c>
      <c r="D7" s="5" t="n">
        <v>5</v>
      </c>
      <c r="E7" s="5" t="n">
        <v>40</v>
      </c>
      <c r="F7" s="6" t="n">
        <v>60</v>
      </c>
      <c r="G7" s="6" t="n">
        <v>65</v>
      </c>
      <c r="H7" s="7" t="n">
        <v>70</v>
      </c>
      <c r="I7" s="7" t="n">
        <v>72</v>
      </c>
      <c r="J7" s="6" t="n">
        <v>68</v>
      </c>
      <c r="K7" s="6" t="n">
        <v>55</v>
      </c>
      <c r="L7" s="5" t="n">
        <v>40</v>
      </c>
      <c r="M7" s="5" t="n">
        <v>30</v>
      </c>
      <c r="N7" s="5" t="n">
        <v>25</v>
      </c>
      <c r="O7" s="5" t="n">
        <v>20</v>
      </c>
      <c r="P7" s="5" t="n">
        <v>15</v>
      </c>
      <c r="Q7" s="5" t="n">
        <v>10</v>
      </c>
      <c r="R7" s="5" t="n">
        <v>5</v>
      </c>
      <c r="S7" s="5" t="n">
        <v>3</v>
      </c>
      <c r="T7" s="5" t="n">
        <v>0</v>
      </c>
    </row>
    <row r="8">
      <c r="A8" s="3" t="inlineStr">
        <is>
          <t>Study Room Block</t>
        </is>
      </c>
      <c r="B8" s="3" t="n">
        <v>120</v>
      </c>
      <c r="C8" s="3" t="n">
        <v>10</v>
      </c>
      <c r="D8" s="3" t="n">
        <v>15</v>
      </c>
      <c r="E8" s="3" t="n">
        <v>25</v>
      </c>
      <c r="F8" s="3" t="n">
        <v>40</v>
      </c>
      <c r="G8" s="3" t="n">
        <v>50</v>
      </c>
      <c r="H8" s="3" t="n">
        <v>55</v>
      </c>
      <c r="I8" s="3" t="n">
        <v>60</v>
      </c>
      <c r="J8" s="4" t="n">
        <v>65</v>
      </c>
      <c r="K8" s="4" t="n">
        <v>70</v>
      </c>
      <c r="L8" s="4" t="n">
        <v>80</v>
      </c>
      <c r="M8" s="4" t="n">
        <v>90</v>
      </c>
      <c r="N8" s="4" t="n">
        <v>100</v>
      </c>
      <c r="O8" s="8" t="n">
        <v>105</v>
      </c>
      <c r="P8" s="4" t="n">
        <v>95</v>
      </c>
      <c r="Q8" s="4" t="n">
        <v>85</v>
      </c>
      <c r="R8" s="4" t="n">
        <v>70</v>
      </c>
      <c r="S8" s="3" t="n">
        <v>55</v>
      </c>
      <c r="T8" s="3" t="n">
        <v>40</v>
      </c>
    </row>
    <row r="9">
      <c r="A9" s="5" t="inlineStr">
        <is>
          <t>Auditorium</t>
        </is>
      </c>
      <c r="B9" s="5" t="n">
        <v>500</v>
      </c>
      <c r="C9" s="5" t="n">
        <v>0</v>
      </c>
      <c r="D9" s="5" t="n">
        <v>0</v>
      </c>
      <c r="E9" s="5" t="n">
        <v>50</v>
      </c>
      <c r="F9" s="5" t="n">
        <v>100</v>
      </c>
      <c r="G9" s="6" t="n">
        <v>350</v>
      </c>
      <c r="H9" s="5" t="n">
        <v>200</v>
      </c>
      <c r="I9" s="5" t="n">
        <v>80</v>
      </c>
      <c r="J9" s="5" t="n">
        <v>50</v>
      </c>
      <c r="K9" s="5" t="n">
        <v>30</v>
      </c>
      <c r="L9" s="5" t="n">
        <v>20</v>
      </c>
      <c r="M9" s="5" t="n">
        <v>15</v>
      </c>
      <c r="N9" s="5" t="n">
        <v>10</v>
      </c>
      <c r="O9" s="5" t="n">
        <v>50</v>
      </c>
      <c r="P9" s="5" t="n">
        <v>100</v>
      </c>
      <c r="Q9" s="6" t="n">
        <v>300</v>
      </c>
      <c r="R9" s="5" t="n">
        <v>150</v>
      </c>
      <c r="S9" s="5" t="n">
        <v>50</v>
      </c>
      <c r="T9" s="5" t="n">
        <v>0</v>
      </c>
    </row>
    <row r="10">
      <c r="A10" s="3" t="inlineStr">
        <is>
          <t>Sports Complex</t>
        </is>
      </c>
      <c r="B10" s="3" t="n">
        <v>150</v>
      </c>
      <c r="C10" s="3" t="n">
        <v>20</v>
      </c>
      <c r="D10" s="3" t="n">
        <v>40</v>
      </c>
      <c r="E10" s="3" t="n">
        <v>15</v>
      </c>
      <c r="F10" s="3" t="n">
        <v>10</v>
      </c>
      <c r="G10" s="3" t="n">
        <v>8</v>
      </c>
      <c r="H10" s="3" t="n">
        <v>12</v>
      </c>
      <c r="I10" s="3" t="n">
        <v>15</v>
      </c>
      <c r="J10" s="3" t="n">
        <v>20</v>
      </c>
      <c r="K10" s="3" t="n">
        <v>25</v>
      </c>
      <c r="L10" s="3" t="n">
        <v>35</v>
      </c>
      <c r="M10" s="3" t="n">
        <v>50</v>
      </c>
      <c r="N10" s="3" t="n">
        <v>65</v>
      </c>
      <c r="O10" s="4" t="n">
        <v>80</v>
      </c>
      <c r="P10" s="4" t="n">
        <v>100</v>
      </c>
      <c r="Q10" s="4" t="n">
        <v>120</v>
      </c>
      <c r="R10" s="8" t="n">
        <v>130</v>
      </c>
      <c r="S10" s="4" t="n">
        <v>110</v>
      </c>
      <c r="T10" s="3" t="n">
        <v>70</v>
      </c>
    </row>
    <row r="13">
      <c r="A13" s="9" t="inlineStr">
        <is>
          <t>Operating Costs per Facility</t>
        </is>
      </c>
    </row>
    <row r="14">
      <c r="A14" s="2" t="inlineStr">
        <is>
          <t>Facility</t>
        </is>
      </c>
      <c r="B14" s="2" t="inlineStr">
        <is>
          <t>Cost / Hour (₹)</t>
        </is>
      </c>
      <c r="C14" s="2" t="inlineStr">
        <is>
          <t>Daily Hours</t>
        </is>
      </c>
      <c r="D14" s="2" t="inlineStr">
        <is>
          <t>Daily Cost (₹)</t>
        </is>
      </c>
      <c r="E14" s="2" t="inlineStr">
        <is>
          <t>Cost / Person-Hr (₹)</t>
        </is>
      </c>
    </row>
    <row r="15">
      <c r="A15" s="3" t="inlineStr">
        <is>
          <t>Gymnasium</t>
        </is>
      </c>
      <c r="B15" s="10" t="n">
        <v>450</v>
      </c>
      <c r="C15" s="3" t="n">
        <v>18</v>
      </c>
      <c r="D15" s="10" t="n">
        <v>8100</v>
      </c>
      <c r="E15" s="10" t="n">
        <v>19.1</v>
      </c>
    </row>
    <row r="16">
      <c r="A16" s="5" t="inlineStr">
        <is>
          <t>Central Library</t>
        </is>
      </c>
      <c r="B16" s="11" t="n">
        <v>800</v>
      </c>
      <c r="C16" s="5" t="n">
        <v>18</v>
      </c>
      <c r="D16" s="11" t="n">
        <v>14400</v>
      </c>
      <c r="E16" s="11" t="n">
        <v>7.6</v>
      </c>
    </row>
    <row r="17">
      <c r="A17" s="3" t="inlineStr">
        <is>
          <t>Computer Lab A</t>
        </is>
      </c>
      <c r="B17" s="10" t="n">
        <v>600</v>
      </c>
      <c r="C17" s="3" t="n">
        <v>18</v>
      </c>
      <c r="D17" s="10" t="n">
        <v>10800</v>
      </c>
      <c r="E17" s="10" t="n">
        <v>14.84</v>
      </c>
    </row>
    <row r="18">
      <c r="A18" s="5" t="inlineStr">
        <is>
          <t>Computer Lab B</t>
        </is>
      </c>
      <c r="B18" s="11" t="n">
        <v>600</v>
      </c>
      <c r="C18" s="5" t="n">
        <v>18</v>
      </c>
      <c r="D18" s="11" t="n">
        <v>10800</v>
      </c>
      <c r="E18" s="11" t="n">
        <v>18.52</v>
      </c>
    </row>
    <row r="19">
      <c r="A19" s="3" t="inlineStr">
        <is>
          <t>Study Room Block</t>
        </is>
      </c>
      <c r="B19" s="10" t="n">
        <v>350</v>
      </c>
      <c r="C19" s="3" t="n">
        <v>18</v>
      </c>
      <c r="D19" s="10" t="n">
        <v>6300</v>
      </c>
      <c r="E19" s="10" t="n">
        <v>5.68</v>
      </c>
    </row>
    <row r="20">
      <c r="A20" s="5" t="inlineStr">
        <is>
          <t>Auditorium</t>
        </is>
      </c>
      <c r="B20" s="11" t="n">
        <v>1200</v>
      </c>
      <c r="C20" s="5" t="n">
        <v>18</v>
      </c>
      <c r="D20" s="11" t="n">
        <v>21600</v>
      </c>
      <c r="E20" s="11" t="n">
        <v>13.89</v>
      </c>
    </row>
    <row r="21">
      <c r="A21" s="3" t="inlineStr">
        <is>
          <t>Sports Complex</t>
        </is>
      </c>
      <c r="B21" s="10" t="n">
        <v>500</v>
      </c>
      <c r="C21" s="3" t="n">
        <v>18</v>
      </c>
      <c r="D21" s="10" t="n">
        <v>9000</v>
      </c>
      <c r="E21" s="10" t="n">
        <v>9.73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5C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5" customWidth="1" min="4" max="4"/>
    <col width="14" customWidth="1" min="5" max="5"/>
    <col width="21" customWidth="1" min="6" max="6"/>
    <col width="26" customWidth="1" min="7" max="7"/>
    <col width="19" customWidth="1" min="8" max="8"/>
  </cols>
  <sheetData>
    <row r="1" ht="30" customHeight="1">
      <c r="A1" s="1" t="inlineStr">
        <is>
          <t>Resource Utilization Metrics</t>
        </is>
      </c>
    </row>
    <row r="2"/>
    <row r="3">
      <c r="A3" s="2" t="inlineStr">
        <is>
          <t>Facility</t>
        </is>
      </c>
      <c r="B3" s="2" t="inlineStr">
        <is>
          <t>Max Capacity</t>
        </is>
      </c>
      <c r="C3" s="2" t="inlineStr">
        <is>
          <t>Peak Usage</t>
        </is>
      </c>
      <c r="D3" s="2" t="inlineStr">
        <is>
          <t>Peak Util %</t>
        </is>
      </c>
      <c r="E3" s="2" t="inlineStr">
        <is>
          <t>Avg Util %</t>
        </is>
      </c>
      <c r="F3" s="2" t="inlineStr">
        <is>
          <t>Idle Hours (&lt;20%)</t>
        </is>
      </c>
      <c r="G3" s="2" t="inlineStr">
        <is>
          <t>Overcrowded Hrs (&gt;85%)</t>
        </is>
      </c>
      <c r="H3" s="2" t="inlineStr">
        <is>
          <t>Idle Capacity %</t>
        </is>
      </c>
    </row>
    <row r="4">
      <c r="A4" s="3" t="inlineStr">
        <is>
          <t>Gymnasium</t>
        </is>
      </c>
      <c r="B4" s="3" t="n">
        <v>60</v>
      </c>
      <c r="C4" s="3" t="n">
        <v>50</v>
      </c>
      <c r="D4" s="12" t="n">
        <v>83.33</v>
      </c>
      <c r="E4" s="12" t="n">
        <v>39.26</v>
      </c>
      <c r="F4" s="3" t="n">
        <v>4</v>
      </c>
      <c r="G4" s="3" t="n">
        <v>0</v>
      </c>
      <c r="H4" s="12" t="n">
        <v>60.74</v>
      </c>
    </row>
    <row r="5">
      <c r="A5" s="5" t="inlineStr">
        <is>
          <t>Central Library</t>
        </is>
      </c>
      <c r="B5" s="5" t="n">
        <v>200</v>
      </c>
      <c r="C5" s="5" t="n">
        <v>180</v>
      </c>
      <c r="D5" s="13" t="n">
        <v>90</v>
      </c>
      <c r="E5" s="13" t="n">
        <v>52.64</v>
      </c>
      <c r="F5" s="5" t="n">
        <v>3</v>
      </c>
      <c r="G5" s="5" t="n">
        <v>2</v>
      </c>
      <c r="H5" s="13" t="n">
        <v>47.36</v>
      </c>
    </row>
    <row r="6">
      <c r="A6" s="3" t="inlineStr">
        <is>
          <t>Computer Lab A</t>
        </is>
      </c>
      <c r="B6" s="3" t="n">
        <v>80</v>
      </c>
      <c r="C6" s="3" t="n">
        <v>75</v>
      </c>
      <c r="D6" s="12" t="n">
        <v>93.75</v>
      </c>
      <c r="E6" s="12" t="n">
        <v>50.56</v>
      </c>
      <c r="F6" s="3" t="n">
        <v>6</v>
      </c>
      <c r="G6" s="3" t="n">
        <v>3</v>
      </c>
      <c r="H6" s="12" t="n">
        <v>49.44</v>
      </c>
    </row>
    <row r="7">
      <c r="A7" s="5" t="inlineStr">
        <is>
          <t>Computer Lab B</t>
        </is>
      </c>
      <c r="B7" s="5" t="n">
        <v>80</v>
      </c>
      <c r="C7" s="5" t="n">
        <v>72</v>
      </c>
      <c r="D7" s="13" t="n">
        <v>90</v>
      </c>
      <c r="E7" s="13" t="n">
        <v>40.49</v>
      </c>
      <c r="F7" s="5" t="n">
        <v>7</v>
      </c>
      <c r="G7" s="5" t="n">
        <v>2</v>
      </c>
      <c r="H7" s="13" t="n">
        <v>59.51</v>
      </c>
    </row>
    <row r="8">
      <c r="A8" s="3" t="inlineStr">
        <is>
          <t>Study Room Block</t>
        </is>
      </c>
      <c r="B8" s="3" t="n">
        <v>120</v>
      </c>
      <c r="C8" s="3" t="n">
        <v>105</v>
      </c>
      <c r="D8" s="12" t="n">
        <v>87.5</v>
      </c>
      <c r="E8" s="12" t="n">
        <v>51.39</v>
      </c>
      <c r="F8" s="3" t="n">
        <v>2</v>
      </c>
      <c r="G8" s="3" t="n">
        <v>1</v>
      </c>
      <c r="H8" s="12" t="n">
        <v>48.61</v>
      </c>
    </row>
    <row r="9">
      <c r="A9" s="5" t="inlineStr">
        <is>
          <t>Auditorium</t>
        </is>
      </c>
      <c r="B9" s="5" t="n">
        <v>500</v>
      </c>
      <c r="C9" s="5" t="n">
        <v>350</v>
      </c>
      <c r="D9" s="13" t="n">
        <v>70</v>
      </c>
      <c r="E9" s="13" t="n">
        <v>17.28</v>
      </c>
      <c r="F9" s="5" t="n">
        <v>12</v>
      </c>
      <c r="G9" s="5" t="n">
        <v>0</v>
      </c>
      <c r="H9" s="13" t="n">
        <v>82.72</v>
      </c>
    </row>
    <row r="10">
      <c r="A10" s="3" t="inlineStr">
        <is>
          <t>Sports Complex</t>
        </is>
      </c>
      <c r="B10" s="3" t="n">
        <v>150</v>
      </c>
      <c r="C10" s="3" t="n">
        <v>130</v>
      </c>
      <c r="D10" s="12" t="n">
        <v>86.67</v>
      </c>
      <c r="E10" s="12" t="n">
        <v>34.26</v>
      </c>
      <c r="F10" s="3" t="n">
        <v>8</v>
      </c>
      <c r="G10" s="3" t="n">
        <v>1</v>
      </c>
      <c r="H10" s="12" t="n">
        <v>65.73999999999999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C4B6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2" customWidth="1" min="3" max="3"/>
    <col width="22" customWidth="1" min="4" max="4"/>
    <col width="21" customWidth="1" min="5" max="5"/>
    <col width="22" customWidth="1" min="6" max="6"/>
    <col width="24" customWidth="1" min="7" max="7"/>
  </cols>
  <sheetData>
    <row r="1" ht="30" customHeight="1">
      <c r="A1" s="1" t="inlineStr">
        <is>
          <t>Optimization Scenario Analysis</t>
        </is>
      </c>
    </row>
    <row r="2"/>
    <row r="3">
      <c r="A3" s="2" t="inlineStr">
        <is>
          <t>Scenario</t>
        </is>
      </c>
      <c r="B3" s="2" t="inlineStr">
        <is>
          <t>Avg Utilization %</t>
        </is>
      </c>
      <c r="C3" s="2" t="inlineStr">
        <is>
          <t>Total Person-Hours</t>
        </is>
      </c>
      <c r="D3" s="2" t="inlineStr">
        <is>
          <t>Idle Hours (total)</t>
        </is>
      </c>
      <c r="E3" s="2" t="inlineStr">
        <is>
          <t>Overcrowded Hours</t>
        </is>
      </c>
      <c r="F3" s="2" t="inlineStr">
        <is>
          <t>Daily Op. Cost (₹)</t>
        </is>
      </c>
      <c r="G3" s="2" t="inlineStr">
        <is>
          <t>Cost / Person-Hr (₹)</t>
        </is>
      </c>
    </row>
    <row r="4">
      <c r="A4" s="3" t="inlineStr">
        <is>
          <t>Base Case (Current)</t>
        </is>
      </c>
      <c r="B4" s="12" t="n">
        <v>33.71</v>
      </c>
      <c r="C4" s="3" t="n">
        <v>7220</v>
      </c>
      <c r="D4" s="3" t="n">
        <v>42</v>
      </c>
      <c r="E4" s="3" t="n">
        <v>9</v>
      </c>
      <c r="F4" s="10" t="n">
        <v>81000</v>
      </c>
      <c r="G4" s="10" t="n">
        <v>11.22</v>
      </c>
    </row>
    <row r="5">
      <c r="A5" s="5" t="inlineStr">
        <is>
          <t>Redistribute (cap 70%)</t>
        </is>
      </c>
      <c r="B5" s="13" t="n">
        <v>33.71</v>
      </c>
      <c r="C5" s="5" t="n">
        <v>7220</v>
      </c>
      <c r="D5" s="5" t="n">
        <v>34</v>
      </c>
      <c r="E5" s="5" t="n">
        <v>0</v>
      </c>
      <c r="F5" s="11" t="n">
        <v>81000</v>
      </c>
      <c r="G5" s="11" t="n">
        <v>11.22</v>
      </c>
    </row>
    <row r="6">
      <c r="A6" s="3" t="inlineStr">
        <is>
          <t>Redistribute (cap 60%)</t>
        </is>
      </c>
      <c r="B6" s="12" t="n">
        <v>33.71</v>
      </c>
      <c r="C6" s="3" t="n">
        <v>7220</v>
      </c>
      <c r="D6" s="3" t="n">
        <v>29</v>
      </c>
      <c r="E6" s="3" t="n">
        <v>0</v>
      </c>
      <c r="F6" s="10" t="n">
        <v>81000</v>
      </c>
      <c r="G6" s="10" t="n">
        <v>11.22</v>
      </c>
    </row>
    <row r="7">
      <c r="A7" s="5" t="inlineStr">
        <is>
          <t>Extended Hours (High-Demand)</t>
        </is>
      </c>
      <c r="B7" s="13" t="n">
        <v>33.46</v>
      </c>
      <c r="C7" s="5" t="n">
        <v>7434</v>
      </c>
      <c r="D7" s="5" t="n">
        <v>42</v>
      </c>
      <c r="E7" s="5" t="n">
        <v>9</v>
      </c>
      <c r="F7" s="11" t="n">
        <v>84500</v>
      </c>
      <c r="G7" s="11" t="n">
        <v>11.37</v>
      </c>
    </row>
    <row r="8">
      <c r="A8" s="3" t="inlineStr">
        <is>
          <t>Close Idle Slots (&lt;15%)</t>
        </is>
      </c>
      <c r="B8" s="12" t="n">
        <v>50.67</v>
      </c>
      <c r="C8" s="3" t="n">
        <v>6703</v>
      </c>
      <c r="D8" s="3" t="n">
        <v>7</v>
      </c>
      <c r="E8" s="3" t="n">
        <v>9</v>
      </c>
      <c r="F8" s="10" t="n">
        <v>54500</v>
      </c>
      <c r="G8" s="10" t="n">
        <v>8.130000000000001</v>
      </c>
    </row>
    <row r="9">
      <c r="A9" s="5" t="inlineStr">
        <is>
          <t>Capacity Right-Sizing</t>
        </is>
      </c>
      <c r="B9" s="13" t="n">
        <v>35.94</v>
      </c>
      <c r="C9" s="5" t="n">
        <v>7220</v>
      </c>
      <c r="D9" s="5" t="n">
        <v>42</v>
      </c>
      <c r="E9" s="5" t="n">
        <v>8</v>
      </c>
      <c r="F9" s="11" t="n">
        <v>81000</v>
      </c>
      <c r="G9" s="11" t="n">
        <v>11.22</v>
      </c>
    </row>
    <row r="10">
      <c r="A10" s="3" t="inlineStr">
        <is>
          <t>Combined Optimized</t>
        </is>
      </c>
      <c r="B10" s="12" t="n">
        <v>39.12</v>
      </c>
      <c r="C10" s="3" t="n">
        <v>7859</v>
      </c>
      <c r="D10" s="3" t="n">
        <v>34</v>
      </c>
      <c r="E10" s="3" t="n">
        <v>0</v>
      </c>
      <c r="F10" s="10" t="n">
        <v>76950</v>
      </c>
      <c r="G10" s="10" t="n">
        <v>9.789999999999999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4A853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4" t="inlineStr">
        <is>
          <t>Executive Dashboard</t>
        </is>
      </c>
    </row>
    <row r="3">
      <c r="A3" s="15" t="inlineStr">
        <is>
          <t>Avg Utilization</t>
        </is>
      </c>
      <c r="B3" s="15" t="inlineStr">
        <is>
          <t>Total Capacity</t>
        </is>
      </c>
      <c r="C3" s="15" t="inlineStr">
        <is>
          <t>Most Utilised</t>
        </is>
      </c>
      <c r="D3" s="15" t="inlineStr">
        <is>
          <t>Least Utilised</t>
        </is>
      </c>
      <c r="E3" s="15" t="inlineStr">
        <is>
          <t>Daily Op. Cost</t>
        </is>
      </c>
      <c r="F3" s="15" t="inlineStr">
        <is>
          <t>Total Idle Hours</t>
        </is>
      </c>
    </row>
    <row r="4">
      <c r="A4" s="16" t="inlineStr">
        <is>
          <t>33.7%</t>
        </is>
      </c>
      <c r="B4" s="16" t="n">
        <v>1190</v>
      </c>
      <c r="C4" s="16" t="inlineStr">
        <is>
          <t>Central Library</t>
        </is>
      </c>
      <c r="D4" s="16" t="inlineStr">
        <is>
          <t>Auditorium</t>
        </is>
      </c>
      <c r="E4" s="17" t="n">
        <v>81000</v>
      </c>
      <c r="F4" s="16" t="n">
        <v>42</v>
      </c>
    </row>
    <row r="7">
      <c r="A7" s="2" t="inlineStr">
        <is>
          <t>Facility</t>
        </is>
      </c>
      <c r="B7" s="2" t="inlineStr">
        <is>
          <t>Capacity</t>
        </is>
      </c>
    </row>
    <row r="8">
      <c r="A8" t="inlineStr">
        <is>
          <t>Gymnasium</t>
        </is>
      </c>
      <c r="B8" t="n">
        <v>60</v>
      </c>
    </row>
    <row r="9">
      <c r="A9" t="inlineStr">
        <is>
          <t>Central Library</t>
        </is>
      </c>
      <c r="B9" t="n">
        <v>200</v>
      </c>
    </row>
    <row r="10">
      <c r="A10" t="inlineStr">
        <is>
          <t>Computer Lab A</t>
        </is>
      </c>
      <c r="B10" t="n">
        <v>80</v>
      </c>
    </row>
    <row r="11">
      <c r="A11" t="inlineStr">
        <is>
          <t>Computer Lab B</t>
        </is>
      </c>
      <c r="B11" t="n">
        <v>80</v>
      </c>
    </row>
    <row r="12">
      <c r="A12" t="inlineStr">
        <is>
          <t>Study Room Block</t>
        </is>
      </c>
      <c r="B12" t="n">
        <v>120</v>
      </c>
    </row>
    <row r="13">
      <c r="A13" t="inlineStr">
        <is>
          <t>Auditorium</t>
        </is>
      </c>
      <c r="B13" t="n">
        <v>500</v>
      </c>
    </row>
    <row r="14">
      <c r="A14" t="inlineStr">
        <is>
          <t>Sports Complex</t>
        </is>
      </c>
      <c r="B14" t="n">
        <v>150</v>
      </c>
    </row>
    <row r="17">
      <c r="A17" s="2" t="inlineStr">
        <is>
          <t>Facility</t>
        </is>
      </c>
      <c r="B17" s="2" t="inlineStr">
        <is>
          <t>Person-Hours</t>
        </is>
      </c>
    </row>
    <row r="18">
      <c r="A18" t="inlineStr">
        <is>
          <t>Gymnasium</t>
        </is>
      </c>
      <c r="B18" t="n">
        <v>424</v>
      </c>
    </row>
    <row r="19">
      <c r="A19" t="inlineStr">
        <is>
          <t>Central Library</t>
        </is>
      </c>
      <c r="B19" t="n">
        <v>1895</v>
      </c>
    </row>
    <row r="20">
      <c r="A20" t="inlineStr">
        <is>
          <t>Computer Lab A</t>
        </is>
      </c>
      <c r="B20" t="n">
        <v>728</v>
      </c>
    </row>
    <row r="21">
      <c r="A21" t="inlineStr">
        <is>
          <t>Computer Lab B</t>
        </is>
      </c>
      <c r="B21" t="n">
        <v>583</v>
      </c>
    </row>
    <row r="22">
      <c r="A22" t="inlineStr">
        <is>
          <t>Study Room Block</t>
        </is>
      </c>
      <c r="B22" t="n">
        <v>1110</v>
      </c>
    </row>
    <row r="23">
      <c r="A23" t="inlineStr">
        <is>
          <t>Auditorium</t>
        </is>
      </c>
      <c r="B23" t="n">
        <v>1555</v>
      </c>
    </row>
    <row r="24">
      <c r="A24" t="inlineStr">
        <is>
          <t>Sports Complex</t>
        </is>
      </c>
      <c r="B24" t="n">
        <v>925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Consulting Insights &amp; Recommendations</t>
        </is>
      </c>
    </row>
    <row r="3">
      <c r="A3" s="9" t="inlineStr">
        <is>
          <t>1. KEY INEFFICIENCIES IDENTIFIED</t>
        </is>
      </c>
    </row>
    <row r="4">
      <c r="A4" s="18" t="inlineStr">
        <is>
          <t xml:space="preserve">  •  Auditorium utilisation at only 17.3% — massive capacity wastage (500 seats, avg usage ~89 persons/hr).</t>
        </is>
      </c>
    </row>
    <row r="5">
      <c r="A5" s="18" t="inlineStr">
        <is>
          <t xml:space="preserve">  •  Computer Lab A has 3 overcrowded hours/day (&gt;85% capacity), causing resource contention.</t>
        </is>
      </c>
    </row>
    <row r="6">
      <c r="A6" s="18" t="inlineStr">
        <is>
          <t xml:space="preserve">  •  Total 42 idle hours across all facilities daily — zero productive output during these slots.</t>
        </is>
      </c>
    </row>
    <row r="7">
      <c r="A7" s="18" t="inlineStr">
        <is>
          <t xml:space="preserve">  •  Sports Complex usage is heavily evening-biased; morning/afternoon slots go virtually unused.</t>
        </is>
      </c>
    </row>
    <row r="8">
      <c r="A8" s="18" t="inlineStr">
        <is>
          <t xml:space="preserve">  •  Two Computer Labs with identical capacity create redundancy during off-peak hours.</t>
        </is>
      </c>
    </row>
    <row r="10">
      <c r="A10" s="9" t="inlineStr">
        <is>
          <t>2. ROOT CAUSE ANALYSIS</t>
        </is>
      </c>
    </row>
    <row r="11">
      <c r="A11" s="18" t="inlineStr">
        <is>
          <t xml:space="preserve">  •  Auditorium: Event-driven usage with no structured scheduling; booked ad-hoc causing massive idle periods.</t>
        </is>
      </c>
    </row>
    <row r="12">
      <c r="A12" s="18" t="inlineStr">
        <is>
          <t xml:space="preserve">  •  Gym: Morning peak (6–8 AM) and evening peak (4–6 PM) with midday dead zone — no staggered class scheduling.</t>
        </is>
      </c>
    </row>
    <row r="13">
      <c r="A13" s="18" t="inlineStr">
        <is>
          <t xml:space="preserve">  •  Computer Labs: Timetable-driven; Lab B mirrors Lab A schedule instead of complementary scheduling.</t>
        </is>
      </c>
    </row>
    <row r="14">
      <c r="A14" s="18" t="inlineStr">
        <is>
          <t xml:space="preserve">  •  Study Rooms: Low morning usage due to early classes; peaks only during exam season.</t>
        </is>
      </c>
    </row>
    <row r="15">
      <c r="A15" s="18" t="inlineStr">
        <is>
          <t xml:space="preserve">  •  No centralised booking/utilisation tracking system — decisions made without data.</t>
        </is>
      </c>
    </row>
    <row r="17">
      <c r="A17" s="9" t="inlineStr">
        <is>
          <t>3. RECOMMENDATIONS</t>
        </is>
      </c>
    </row>
    <row r="18">
      <c r="A18" s="18" t="inlineStr">
        <is>
          <t xml:space="preserve">  •  QUICK WIN — Implement centralised facility booking app with real-time occupancy display.</t>
        </is>
      </c>
    </row>
    <row r="19">
      <c r="A19" s="18" t="inlineStr">
        <is>
          <t xml:space="preserve">  •  Merge Computer Lab A &amp; B into staggered schedules to eliminate duplicate idle periods.</t>
        </is>
      </c>
    </row>
    <row r="20">
      <c r="A20" s="18" t="inlineStr">
        <is>
          <t xml:space="preserve">  •  Convert Auditorium to multi-use space during idle hours (study hall, presentations, club activities).</t>
        </is>
      </c>
    </row>
    <row r="21">
      <c r="A21" s="18" t="inlineStr">
        <is>
          <t xml:space="preserve">  •  Introduce staggered gym slots tied to class timetable to flatten peak demand.</t>
        </is>
      </c>
    </row>
    <row r="22">
      <c r="A22" s="18" t="inlineStr">
        <is>
          <t xml:space="preserve">  •  Deploy IoT occupancy sensors for real-time data collection and dynamic scheduling.</t>
        </is>
      </c>
    </row>
    <row r="23">
      <c r="A23" s="18" t="inlineStr">
        <is>
          <t xml:space="preserve">  •  Close facilities during proven idle slots to reduce operating costs by ~15–20%.</t>
        </is>
      </c>
    </row>
    <row r="25">
      <c r="A25" s="9" t="inlineStr">
        <is>
          <t>4. ESTIMATED EFFICIENCY IMPROVEMENT</t>
        </is>
      </c>
    </row>
    <row r="26">
      <c r="A26" s="18" t="inlineStr">
        <is>
          <t xml:space="preserve">  •  Base Case Utilization:        33.71%</t>
        </is>
      </c>
    </row>
    <row r="27">
      <c r="A27" s="18" t="inlineStr">
        <is>
          <t xml:space="preserve">  •  Optimised Utilization:        39.12%</t>
        </is>
      </c>
    </row>
    <row r="28">
      <c r="A28" s="18" t="inlineStr">
        <is>
          <t xml:space="preserve">  •  Utilization Uplift:            5.41 pp</t>
        </is>
      </c>
    </row>
    <row r="29">
      <c r="A29" s="18" t="inlineStr">
        <is>
          <t xml:space="preserve">  •  Cost / Person-Hr Saved:    ₹   1.43</t>
        </is>
      </c>
    </row>
    <row r="30">
      <c r="A30" s="18" t="inlineStr">
        <is>
          <t xml:space="preserve">  •  Idle Hours Eliminated:            8 hrs/day</t>
        </is>
      </c>
    </row>
    <row r="31">
      <c r="A31" s="18" t="inlineStr">
        <is>
          <t xml:space="preserve">  •  Overcrowded Hrs Eliminated:   9 hrs/day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Project Summary — Resume Ready</t>
        </is>
      </c>
    </row>
    <row r="3">
      <c r="A3" s="9" t="inlineStr">
        <is>
          <t>PROJECT TITLE</t>
        </is>
      </c>
    </row>
    <row r="4">
      <c r="A4" s="18" t="inlineStr">
        <is>
          <t xml:space="preserve">  Campus Resource Utilization Analysis</t>
        </is>
      </c>
    </row>
    <row r="6">
      <c r="A6" s="9" t="inlineStr">
        <is>
          <t>OBJECTIVE</t>
        </is>
      </c>
    </row>
    <row r="7">
      <c r="A7" s="18" t="inlineStr">
        <is>
          <t xml:space="preserve">  Conducted a consulting-grade utilization analysis of 7 campus facilities at</t>
        </is>
      </c>
    </row>
    <row r="8">
      <c r="A8" s="18" t="inlineStr">
        <is>
          <t xml:space="preserve">  an Indian engineering college, quantifying inefficiencies and modeling</t>
        </is>
      </c>
    </row>
    <row r="9">
      <c r="A9" s="18" t="inlineStr">
        <is>
          <t xml:space="preserve">  optimization scenarios to improve resource allocation and reduce costs.</t>
        </is>
      </c>
    </row>
    <row r="11">
      <c r="A11" s="9" t="inlineStr">
        <is>
          <t>METHODOLOGY</t>
        </is>
      </c>
    </row>
    <row r="12">
      <c r="A12" s="18" t="inlineStr">
        <is>
          <t xml:space="preserve">  1. Built a granular hourly usage dataset across 7 facilities (18 time slots each).</t>
        </is>
      </c>
    </row>
    <row r="13">
      <c r="A13" s="18" t="inlineStr">
        <is>
          <t xml:space="preserve">  2. Computed utilization KPIs: peak, average, idle capacity, overcrowding metrics.</t>
        </is>
      </c>
    </row>
    <row r="14">
      <c r="A14" s="18" t="inlineStr">
        <is>
          <t xml:space="preserve">  3. Ran 7 optimization scenarios across redistribution, scheduling, and right-sizing levers.</t>
        </is>
      </c>
    </row>
    <row r="15">
      <c r="A15" s="18" t="inlineStr">
        <is>
          <t xml:space="preserve">  4. Identified root causes and quantified financial and operational impact.</t>
        </is>
      </c>
    </row>
    <row r="17">
      <c r="A17" s="9" t="inlineStr">
        <is>
          <t>TOOLS USED</t>
        </is>
      </c>
    </row>
    <row r="18">
      <c r="A18" s="18" t="inlineStr">
        <is>
          <t xml:space="preserve">  Python (openpyxl), Microsoft Excel, Chart.js, Financial/Operations Modeling, Scenario Analysis</t>
        </is>
      </c>
    </row>
    <row r="20">
      <c r="A20" s="9" t="inlineStr">
        <is>
          <t>KEY IMPACT</t>
        </is>
      </c>
    </row>
    <row r="21">
      <c r="A21" s="18" t="inlineStr">
        <is>
          <t xml:space="preserve">  • Identified 42 daily idle hours across 7 facilities — zero productive output.</t>
        </is>
      </c>
    </row>
    <row r="22">
      <c r="A22" s="18" t="inlineStr">
        <is>
          <t xml:space="preserve">  • Demonstrated path to improve utilization from 33.7% to 39.1% (+5.4pp).</t>
        </is>
      </c>
    </row>
    <row r="23">
      <c r="A23" s="18" t="inlineStr">
        <is>
          <t xml:space="preserve">  • Reduced cost per person-hour from ₹11.22 to ₹9.79.</t>
        </is>
      </c>
    </row>
    <row r="24">
      <c r="A24" s="18" t="inlineStr">
        <is>
          <t xml:space="preserve">  • Delivered executive dashboard and consulting-style insights deck.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2026-02-24T21:59:43Z</dcterms:created>
  <dcterms:modified xsi:type="dcterms:W3CDTF">2026-02-24T21:59:43Z</dcterms:modified>
</cp:coreProperties>
</file>