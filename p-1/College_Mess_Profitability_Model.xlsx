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Financial Model" sheetId="2" state="visible" r:id="rId2"/>
    <sheet name="Optimization Scenarios" sheetId="3" state="visible" r:id="rId3"/>
    <sheet name="Dashboard" sheetId="4" state="visible" r:id="rId4"/>
    <sheet name="Consulting Insights" sheetId="5" state="visible" r:id="rId5"/>
    <sheet name="Proj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1"/>
    </font>
    <font>
      <name val="Calibri"/>
      <b val="1"/>
      <color rgb="001A6B5C"/>
      <sz val="13"/>
    </font>
    <font>
      <name val="Calibri"/>
      <b val="1"/>
      <sz val="11"/>
    </font>
    <font>
      <name val="Calibri"/>
      <b val="1"/>
      <color rgb="0027AE60"/>
      <sz val="12"/>
    </font>
    <font>
      <name val="Calibri"/>
      <b val="1"/>
      <color rgb="001B2A4A"/>
      <sz val="20"/>
    </font>
    <font>
      <name val="Calibri"/>
      <b val="1"/>
      <color rgb="00FFFFFF"/>
      <sz val="10"/>
    </font>
    <font>
      <name val="Calibri"/>
      <b val="1"/>
      <color rgb="001A6B5C"/>
      <sz val="14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5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by Scenario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'Optimization Scenarios'!F3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1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2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3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4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5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6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7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8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9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0"/>
            <spPr>
              <a:solidFill>
                <a:srgbClr val="D4A853"/>
              </a:solidFill>
              <a:ln>
                <a:prstDash val="solid"/>
              </a:ln>
            </spPr>
          </dPt>
          <cat>
            <numRef>
              <f>'Optimization Scenarios'!$A$4:$A$14</f>
            </numRef>
          </cat>
          <val>
            <numRef>
              <f>'Optimization Scenarios'!$F$4:$F$14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Margin %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'Optimization Scenarios'!G3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1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2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3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4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5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6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7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8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9"/>
            <spPr>
              <a:solidFill>
                <a:srgbClr val="1A6B5C"/>
              </a:solidFill>
              <a:ln>
                <a:prstDash val="solid"/>
              </a:ln>
            </spPr>
          </dPt>
          <dPt>
            <idx val="10"/>
            <spPr>
              <a:solidFill>
                <a:srgbClr val="D4A853"/>
              </a:solidFill>
              <a:ln>
                <a:prstDash val="solid"/>
              </a:ln>
            </spPr>
          </dPt>
          <cat>
            <numRef>
              <f>'Optimization Scenarios'!$A$4:$A$14</f>
            </numRef>
          </cat>
          <val>
            <numRef>
              <f>'Optimization Scenarios'!$G$4:$G$14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Structure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2A4A"/>
              </a:solidFill>
              <a:ln>
                <a:prstDash val="solid"/>
              </a:ln>
            </spPr>
          </dPt>
          <dPt>
            <idx val="1"/>
            <spPr>
              <a:solidFill>
                <a:srgbClr val="2EC4B6"/>
              </a:solidFill>
              <a:ln>
                <a:prstDash val="solid"/>
              </a:ln>
            </spPr>
          </dPt>
          <dPt>
            <idx val="2"/>
            <spPr>
              <a:solidFill>
                <a:srgbClr val="D4A853"/>
              </a:solidFill>
              <a:ln>
                <a:prstDash val="solid"/>
              </a:ln>
            </spPr>
          </dPt>
          <dPt>
            <idx val="3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4"/>
            <spPr>
              <a:solidFill>
                <a:srgbClr val="3498DB"/>
              </a:solidFill>
              <a:ln>
                <a:prstDash val="solid"/>
              </a:ln>
            </spPr>
          </dPt>
          <dPt>
            <idx val="5"/>
            <spPr>
              <a:solidFill>
                <a:srgbClr val="8E44AD"/>
              </a:solidFill>
              <a:ln>
                <a:prstDash val="solid"/>
              </a:ln>
            </spPr>
          </dPt>
          <dPt>
            <idx val="6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7"/>
            <spPr>
              <a:solidFill>
                <a:srgbClr val="F39C12"/>
              </a:solidFill>
              <a:ln>
                <a:prstDash val="solid"/>
              </a:ln>
            </spPr>
          </dPt>
          <dPt>
            <idx val="8"/>
            <spPr>
              <a:solidFill>
                <a:srgbClr val="1ABC9C"/>
              </a:solidFill>
              <a:ln>
                <a:prstDash val="solid"/>
              </a:ln>
            </spPr>
          </dPt>
          <dPt>
            <idx val="9"/>
            <spPr>
              <a:solidFill>
                <a:srgbClr val="95A5A6"/>
              </a:solidFill>
              <a:ln>
                <a:prstDash val="solid"/>
              </a:ln>
            </spPr>
          </dPt>
          <cat>
            <numRef>
              <f>'Dashboard'!$A$8:$A$17</f>
            </numRef>
          </cat>
          <val>
            <numRef>
              <f>'Dashboard'!$B$8:$B$17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Costs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3"/>
            <spPr>
              <a:solidFill>
                <a:srgbClr val="1A6B5C"/>
              </a:solidFill>
              <a:ln>
                <a:prstDash val="solid"/>
              </a:ln>
            </spPr>
          </dPt>
          <cat>
            <numRef>
              <f>'Dashboard'!$A$21:$A$24</f>
            </numRef>
          </cat>
          <val>
            <numRef>
              <f>'Dashboard'!$B$21:$B$24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33</row>
      <rowOff>0</rowOff>
    </from>
    <ext cx="100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12" customWidth="1" min="3" max="3"/>
  </cols>
  <sheetData>
    <row r="1" ht="30" customHeight="1">
      <c r="A1" s="1" t="inlineStr">
        <is>
          <t>College Mess — Input Assumptions</t>
        </is>
      </c>
    </row>
    <row r="2"/>
    <row r="3">
      <c r="A3" s="2" t="inlineStr">
        <is>
          <t>Category</t>
        </is>
      </c>
      <c r="B3" s="2" t="inlineStr">
        <is>
          <t>Parameter</t>
        </is>
      </c>
      <c r="C3" s="2" t="inlineStr">
        <is>
          <t>Value</t>
        </is>
      </c>
    </row>
    <row r="4">
      <c r="A4" s="3" t="inlineStr">
        <is>
          <t>Student &amp; Pricing</t>
        </is>
      </c>
      <c r="B4" s="3" t="inlineStr">
        <is>
          <t>Total Students Enrolled</t>
        </is>
      </c>
      <c r="C4" s="3" t="n">
        <v>650</v>
      </c>
    </row>
    <row r="5">
      <c r="A5" s="4" t="inlineStr">
        <is>
          <t>Student &amp; Pricing</t>
        </is>
      </c>
      <c r="B5" s="4" t="inlineStr">
        <is>
          <t>Monthly Mess Fee (₹)</t>
        </is>
      </c>
      <c r="C5" s="4" t="n">
        <v>4500</v>
      </c>
    </row>
    <row r="6">
      <c r="A6" s="3" t="inlineStr">
        <is>
          <t>Student &amp; Pricing</t>
        </is>
      </c>
      <c r="B6" s="3" t="inlineStr">
        <is>
          <t>Days in Month</t>
        </is>
      </c>
      <c r="C6" s="3" t="n">
        <v>30</v>
      </c>
    </row>
    <row r="7">
      <c r="A7" s="4" t="inlineStr">
        <is>
          <t>Variable Costs</t>
        </is>
      </c>
      <c r="B7" s="4" t="inlineStr">
        <is>
          <t>Daily Food Cost / Student (₹)</t>
        </is>
      </c>
      <c r="C7" s="4" t="n">
        <v>90</v>
      </c>
    </row>
    <row r="8">
      <c r="A8" s="3" t="inlineStr">
        <is>
          <t>Variable Costs</t>
        </is>
      </c>
      <c r="B8" s="3" t="inlineStr">
        <is>
          <t>Food Wastage (%)</t>
        </is>
      </c>
      <c r="C8" s="3" t="n">
        <v>12</v>
      </c>
    </row>
    <row r="9">
      <c r="A9" s="4" t="inlineStr">
        <is>
          <t>Variable Costs</t>
        </is>
      </c>
      <c r="B9" s="4" t="inlineStr">
        <is>
          <t>LPG / Fuel (₹/month)</t>
        </is>
      </c>
      <c r="C9" s="4" t="n">
        <v>55000</v>
      </c>
    </row>
    <row r="10">
      <c r="A10" s="3" t="inlineStr">
        <is>
          <t>Variable Costs</t>
        </is>
      </c>
      <c r="B10" s="3" t="inlineStr">
        <is>
          <t>Water (₹/month)</t>
        </is>
      </c>
      <c r="C10" s="3" t="n">
        <v>18000</v>
      </c>
    </row>
    <row r="11">
      <c r="A11" s="4" t="inlineStr">
        <is>
          <t>Variable Costs</t>
        </is>
      </c>
      <c r="B11" s="4" t="inlineStr">
        <is>
          <t>Packaging &amp; Disposables (₹/month)</t>
        </is>
      </c>
      <c r="C11" s="4" t="n">
        <v>12000</v>
      </c>
    </row>
    <row r="12">
      <c r="A12" s="3" t="inlineStr">
        <is>
          <t>Fixed Costs</t>
        </is>
      </c>
      <c r="B12" s="3" t="inlineStr">
        <is>
          <t>Staff Salaries (₹/month)</t>
        </is>
      </c>
      <c r="C12" s="3" t="n">
        <v>220000</v>
      </c>
    </row>
    <row r="13">
      <c r="A13" s="4" t="inlineStr">
        <is>
          <t>Fixed Costs</t>
        </is>
      </c>
      <c r="B13" s="4" t="inlineStr">
        <is>
          <t>Electricity (₹/month)</t>
        </is>
      </c>
      <c r="C13" s="4" t="n">
        <v>45000</v>
      </c>
    </row>
    <row r="14">
      <c r="A14" s="3" t="inlineStr">
        <is>
          <t>Fixed Costs</t>
        </is>
      </c>
      <c r="B14" s="3" t="inlineStr">
        <is>
          <t>Maintenance (₹/month)</t>
        </is>
      </c>
      <c r="C14" s="3" t="n">
        <v>20000</v>
      </c>
    </row>
    <row r="15">
      <c r="A15" s="4" t="inlineStr">
        <is>
          <t>Fixed Costs</t>
        </is>
      </c>
      <c r="B15" s="4" t="inlineStr">
        <is>
          <t>Rent (₹/month)</t>
        </is>
      </c>
      <c r="C15" s="4" t="n">
        <v>60000</v>
      </c>
    </row>
    <row r="16">
      <c r="A16" s="3" t="inlineStr">
        <is>
          <t>Fixed Costs</t>
        </is>
      </c>
      <c r="B16" s="3" t="inlineStr">
        <is>
          <t>Insurance &amp; Misc (₹/month)</t>
        </is>
      </c>
      <c r="C16" s="3" t="n">
        <v>15000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5C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</cols>
  <sheetData>
    <row r="1" ht="30" customHeight="1">
      <c r="A1" s="1" t="inlineStr">
        <is>
          <t>Monthly Profit &amp; Loss Statement</t>
        </is>
      </c>
    </row>
    <row r="2"/>
    <row r="3">
      <c r="A3" s="2" t="inlineStr">
        <is>
          <t>Line Item</t>
        </is>
      </c>
      <c r="B3" s="2" t="inlineStr">
        <is>
          <t>Amount (₹)</t>
        </is>
      </c>
      <c r="C3" s="2" t="inlineStr">
        <is>
          <t>% of Revenue</t>
        </is>
      </c>
    </row>
    <row r="4">
      <c r="A4" s="5" t="inlineStr">
        <is>
          <t>REVENUE</t>
        </is>
      </c>
    </row>
    <row r="5">
      <c r="A5" t="inlineStr">
        <is>
          <t xml:space="preserve">  Total Students × Monthly Fee</t>
        </is>
      </c>
      <c r="B5" s="6" t="n">
        <v>2925000</v>
      </c>
      <c r="C5" s="7" t="n">
        <v>100</v>
      </c>
    </row>
    <row r="6">
      <c r="A6" t="inlineStr"/>
    </row>
    <row r="7">
      <c r="A7" s="5" t="inlineStr">
        <is>
          <t>VARIABLE COSTS</t>
        </is>
      </c>
    </row>
    <row r="8">
      <c r="A8" t="inlineStr">
        <is>
          <t xml:space="preserve">  Raw Food Cost (Students × Daily × Days)</t>
        </is>
      </c>
      <c r="B8" s="6" t="n">
        <v>1755000</v>
      </c>
      <c r="C8" s="7" t="n">
        <v>60</v>
      </c>
    </row>
    <row r="9">
      <c r="A9" t="inlineStr">
        <is>
          <t xml:space="preserve">  Food Wastage Cost</t>
        </is>
      </c>
      <c r="B9" s="6" t="n">
        <v>210600</v>
      </c>
      <c r="C9" s="7" t="n">
        <v>7.2</v>
      </c>
    </row>
    <row r="10">
      <c r="A10" t="inlineStr">
        <is>
          <t xml:space="preserve">  LPG / Fuel</t>
        </is>
      </c>
      <c r="B10" s="6" t="n">
        <v>55000</v>
      </c>
      <c r="C10" s="7" t="n">
        <v>1.88</v>
      </c>
    </row>
    <row r="11">
      <c r="A11" t="inlineStr">
        <is>
          <t xml:space="preserve">  Water</t>
        </is>
      </c>
      <c r="B11" s="6" t="n">
        <v>18000</v>
      </c>
      <c r="C11" s="7" t="n">
        <v>0.62</v>
      </c>
    </row>
    <row r="12">
      <c r="A12" t="inlineStr">
        <is>
          <t xml:space="preserve">  Packaging &amp; Disposables</t>
        </is>
      </c>
      <c r="B12" s="6" t="n">
        <v>12000</v>
      </c>
      <c r="C12" s="7" t="n">
        <v>0.41</v>
      </c>
    </row>
    <row r="13">
      <c r="A13" s="8" t="inlineStr">
        <is>
          <t>Total Variable Costs</t>
        </is>
      </c>
      <c r="B13" s="9" t="n">
        <v>2050600</v>
      </c>
      <c r="C13" s="10" t="n">
        <v>70.11</v>
      </c>
    </row>
    <row r="14">
      <c r="A14" t="inlineStr"/>
    </row>
    <row r="15">
      <c r="A15" s="5" t="inlineStr">
        <is>
          <t>FIXED COSTS</t>
        </is>
      </c>
    </row>
    <row r="16">
      <c r="A16" t="inlineStr">
        <is>
          <t xml:space="preserve">  Staff Salaries</t>
        </is>
      </c>
      <c r="B16" s="6" t="n">
        <v>220000</v>
      </c>
      <c r="C16" s="7" t="n">
        <v>7.52</v>
      </c>
    </row>
    <row r="17">
      <c r="A17" t="inlineStr">
        <is>
          <t xml:space="preserve">  Electricity</t>
        </is>
      </c>
      <c r="B17" s="6" t="n">
        <v>45000</v>
      </c>
      <c r="C17" s="7" t="n">
        <v>1.54</v>
      </c>
    </row>
    <row r="18">
      <c r="A18" t="inlineStr">
        <is>
          <t xml:space="preserve">  Maintenance</t>
        </is>
      </c>
      <c r="B18" s="6" t="n">
        <v>20000</v>
      </c>
      <c r="C18" s="7" t="n">
        <v>0.68</v>
      </c>
    </row>
    <row r="19">
      <c r="A19" t="inlineStr">
        <is>
          <t xml:space="preserve">  Rent</t>
        </is>
      </c>
      <c r="B19" s="6" t="n">
        <v>60000</v>
      </c>
      <c r="C19" s="7" t="n">
        <v>2.05</v>
      </c>
    </row>
    <row r="20">
      <c r="A20" t="inlineStr">
        <is>
          <t xml:space="preserve">  Insurance &amp; Misc</t>
        </is>
      </c>
      <c r="B20" s="6" t="n">
        <v>15000</v>
      </c>
      <c r="C20" s="7" t="n">
        <v>0.51</v>
      </c>
    </row>
    <row r="21">
      <c r="A21" s="8" t="inlineStr">
        <is>
          <t>Total Fixed Costs</t>
        </is>
      </c>
      <c r="B21" s="9" t="n">
        <v>360000</v>
      </c>
      <c r="C21" s="10" t="n">
        <v>12.31</v>
      </c>
    </row>
    <row r="22">
      <c r="A22" t="inlineStr"/>
    </row>
    <row r="23">
      <c r="A23" s="8" t="inlineStr">
        <is>
          <t>TOTAL COST</t>
        </is>
      </c>
      <c r="B23" s="9" t="n">
        <v>2410600</v>
      </c>
      <c r="C23" s="10" t="n">
        <v>82.41</v>
      </c>
    </row>
    <row r="24">
      <c r="A24" t="inlineStr"/>
    </row>
    <row r="25">
      <c r="A25" s="8" t="inlineStr">
        <is>
          <t>NET PROFIT / (LOSS)</t>
        </is>
      </c>
      <c r="B25" s="11" t="n">
        <v>514400</v>
      </c>
      <c r="C25" s="10" t="n">
        <v>17.59</v>
      </c>
    </row>
    <row r="26">
      <c r="A26" s="8" t="inlineStr">
        <is>
          <t>Profit Margin</t>
        </is>
      </c>
      <c r="B26" s="8" t="inlineStr">
        <is>
          <t>17.59%</t>
        </is>
      </c>
      <c r="C26" s="8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4B6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8" customWidth="1" min="3" max="3"/>
    <col width="15" customWidth="1" min="4" max="4"/>
    <col width="14" customWidth="1" min="5" max="5"/>
    <col width="12" customWidth="1" min="6" max="6"/>
    <col width="19" customWidth="1" min="7" max="7"/>
  </cols>
  <sheetData>
    <row r="1" ht="30" customHeight="1">
      <c r="A1" s="1" t="inlineStr">
        <is>
          <t>Optimization Scenario Analysis</t>
        </is>
      </c>
    </row>
    <row r="2"/>
    <row r="3">
      <c r="A3" s="2" t="inlineStr">
        <is>
          <t>Scenario</t>
        </is>
      </c>
      <c r="B3" s="2" t="inlineStr">
        <is>
          <t>Revenue</t>
        </is>
      </c>
      <c r="C3" s="2" t="inlineStr">
        <is>
          <t>Variable Costs</t>
        </is>
      </c>
      <c r="D3" s="2" t="inlineStr">
        <is>
          <t>Fixed Costs</t>
        </is>
      </c>
      <c r="E3" s="2" t="inlineStr">
        <is>
          <t>Total Cost</t>
        </is>
      </c>
      <c r="F3" s="2" t="inlineStr">
        <is>
          <t>Profit</t>
        </is>
      </c>
      <c r="G3" s="2" t="inlineStr">
        <is>
          <t>Profit Margin %</t>
        </is>
      </c>
    </row>
    <row r="4">
      <c r="A4" s="3" t="inlineStr">
        <is>
          <t>Base Case (Current)</t>
        </is>
      </c>
      <c r="B4" s="12" t="n">
        <v>2925000</v>
      </c>
      <c r="C4" s="12" t="n">
        <v>2050600</v>
      </c>
      <c r="D4" s="12" t="n">
        <v>360000</v>
      </c>
      <c r="E4" s="12" t="n">
        <v>2410600</v>
      </c>
      <c r="F4" s="12" t="n">
        <v>514400</v>
      </c>
      <c r="G4" s="13" t="n">
        <v>17.59</v>
      </c>
    </row>
    <row r="5">
      <c r="A5" s="4" t="inlineStr">
        <is>
          <t>Wastage Reduced by 5pp</t>
        </is>
      </c>
      <c r="B5" s="14" t="n">
        <v>2925000</v>
      </c>
      <c r="C5" s="14" t="n">
        <v>1962850</v>
      </c>
      <c r="D5" s="14" t="n">
        <v>360000</v>
      </c>
      <c r="E5" s="14" t="n">
        <v>2322850</v>
      </c>
      <c r="F5" s="14" t="n">
        <v>602150</v>
      </c>
      <c r="G5" s="15" t="n">
        <v>20.59</v>
      </c>
    </row>
    <row r="6">
      <c r="A6" s="3" t="inlineStr">
        <is>
          <t>Wastage Reduced by 10pp</t>
        </is>
      </c>
      <c r="B6" s="12" t="n">
        <v>2925000</v>
      </c>
      <c r="C6" s="12" t="n">
        <v>1875100</v>
      </c>
      <c r="D6" s="12" t="n">
        <v>360000</v>
      </c>
      <c r="E6" s="12" t="n">
        <v>2235100</v>
      </c>
      <c r="F6" s="12" t="n">
        <v>689900</v>
      </c>
      <c r="G6" s="13" t="n">
        <v>23.59</v>
      </c>
    </row>
    <row r="7">
      <c r="A7" s="4" t="inlineStr">
        <is>
          <t>Wastage Reduced by 15pp</t>
        </is>
      </c>
      <c r="B7" s="14" t="n">
        <v>2925000</v>
      </c>
      <c r="C7" s="14" t="n">
        <v>1787350</v>
      </c>
      <c r="D7" s="14" t="n">
        <v>360000</v>
      </c>
      <c r="E7" s="14" t="n">
        <v>2147350</v>
      </c>
      <c r="F7" s="14" t="n">
        <v>777650</v>
      </c>
      <c r="G7" s="15" t="n">
        <v>26.59</v>
      </c>
    </row>
    <row r="8">
      <c r="A8" s="3" t="inlineStr">
        <is>
          <t>Operational Efficiency +2%</t>
        </is>
      </c>
      <c r="B8" s="12" t="n">
        <v>2925000</v>
      </c>
      <c r="C8" s="12" t="n">
        <v>2049140</v>
      </c>
      <c r="D8" s="12" t="n">
        <v>358700</v>
      </c>
      <c r="E8" s="12" t="n">
        <v>2407840</v>
      </c>
      <c r="F8" s="12" t="n">
        <v>517160</v>
      </c>
      <c r="G8" s="13" t="n">
        <v>17.68</v>
      </c>
    </row>
    <row r="9">
      <c r="A9" s="4" t="inlineStr">
        <is>
          <t>Operational Efficiency +5%</t>
        </is>
      </c>
      <c r="B9" s="14" t="n">
        <v>2925000</v>
      </c>
      <c r="C9" s="14" t="n">
        <v>2046950</v>
      </c>
      <c r="D9" s="14" t="n">
        <v>356750</v>
      </c>
      <c r="E9" s="14" t="n">
        <v>2403700</v>
      </c>
      <c r="F9" s="14" t="n">
        <v>521300</v>
      </c>
      <c r="G9" s="15" t="n">
        <v>17.82</v>
      </c>
    </row>
    <row r="10">
      <c r="A10" s="3" t="inlineStr">
        <is>
          <t>Operational Efficiency +8%</t>
        </is>
      </c>
      <c r="B10" s="12" t="n">
        <v>2925000</v>
      </c>
      <c r="C10" s="12" t="n">
        <v>2044760</v>
      </c>
      <c r="D10" s="12" t="n">
        <v>354800</v>
      </c>
      <c r="E10" s="12" t="n">
        <v>2399560</v>
      </c>
      <c r="F10" s="12" t="n">
        <v>525440</v>
      </c>
      <c r="G10" s="13" t="n">
        <v>17.96</v>
      </c>
    </row>
    <row r="11">
      <c r="A11" s="4" t="inlineStr">
        <is>
          <t>Fee Increase ₹100/mo</t>
        </is>
      </c>
      <c r="B11" s="14" t="n">
        <v>2990000</v>
      </c>
      <c r="C11" s="14" t="n">
        <v>2050600</v>
      </c>
      <c r="D11" s="14" t="n">
        <v>360000</v>
      </c>
      <c r="E11" s="14" t="n">
        <v>2410600</v>
      </c>
      <c r="F11" s="14" t="n">
        <v>579400</v>
      </c>
      <c r="G11" s="15" t="n">
        <v>19.38</v>
      </c>
    </row>
    <row r="12">
      <c r="A12" s="3" t="inlineStr">
        <is>
          <t>Fee Increase ₹200/mo</t>
        </is>
      </c>
      <c r="B12" s="12" t="n">
        <v>3055000</v>
      </c>
      <c r="C12" s="12" t="n">
        <v>2050600</v>
      </c>
      <c r="D12" s="12" t="n">
        <v>360000</v>
      </c>
      <c r="E12" s="12" t="n">
        <v>2410600</v>
      </c>
      <c r="F12" s="12" t="n">
        <v>644400</v>
      </c>
      <c r="G12" s="13" t="n">
        <v>21.09</v>
      </c>
    </row>
    <row r="13">
      <c r="A13" s="4" t="inlineStr">
        <is>
          <t>Fee Increase ₹300/mo</t>
        </is>
      </c>
      <c r="B13" s="14" t="n">
        <v>3120000</v>
      </c>
      <c r="C13" s="14" t="n">
        <v>2050600</v>
      </c>
      <c r="D13" s="14" t="n">
        <v>360000</v>
      </c>
      <c r="E13" s="14" t="n">
        <v>2410600</v>
      </c>
      <c r="F13" s="14" t="n">
        <v>709400</v>
      </c>
      <c r="G13" s="15" t="n">
        <v>22.74</v>
      </c>
    </row>
    <row r="14">
      <c r="A14" s="3" t="inlineStr">
        <is>
          <t>Combined Optimized Scenario</t>
        </is>
      </c>
      <c r="B14" s="12" t="n">
        <v>3055000</v>
      </c>
      <c r="C14" s="12" t="n">
        <v>1871450</v>
      </c>
      <c r="D14" s="12" t="n">
        <v>356750</v>
      </c>
      <c r="E14" s="12" t="n">
        <v>2228200</v>
      </c>
      <c r="F14" s="12" t="n">
        <v>826800</v>
      </c>
      <c r="G14" s="13" t="n">
        <v>27.06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4A853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6" t="inlineStr">
        <is>
          <t>Executive Dashboard</t>
        </is>
      </c>
    </row>
    <row r="3">
      <c r="A3" s="17" t="inlineStr">
        <is>
          <t>Monthly Revenue</t>
        </is>
      </c>
      <c r="B3" s="17" t="inlineStr">
        <is>
          <t>Total Costs</t>
        </is>
      </c>
      <c r="C3" s="17" t="inlineStr">
        <is>
          <t>Net Profit</t>
        </is>
      </c>
      <c r="D3" s="17" t="inlineStr">
        <is>
          <t>Profit Margin</t>
        </is>
      </c>
      <c r="E3" s="17" t="inlineStr">
        <is>
          <t>Food Wastage Cost</t>
        </is>
      </c>
      <c r="F3" s="17" t="inlineStr">
        <is>
          <t>Break-even Students</t>
        </is>
      </c>
    </row>
    <row r="4">
      <c r="A4" s="18" t="n">
        <v>2925000</v>
      </c>
      <c r="B4" s="18" t="n">
        <v>2410600</v>
      </c>
      <c r="C4" s="18" t="n">
        <v>514400</v>
      </c>
      <c r="D4" s="19" t="inlineStr">
        <is>
          <t>17.59%</t>
        </is>
      </c>
      <c r="E4" s="18" t="n">
        <v>210600</v>
      </c>
      <c r="F4" s="19" t="n">
        <v>536</v>
      </c>
    </row>
    <row r="7">
      <c r="A7" s="2" t="inlineStr">
        <is>
          <t>Cost Component</t>
        </is>
      </c>
      <c r="B7" s="2" t="inlineStr">
        <is>
          <t>Amount (₹)</t>
        </is>
      </c>
    </row>
    <row r="8">
      <c r="A8" t="inlineStr">
        <is>
          <t>Raw Food</t>
        </is>
      </c>
      <c r="B8" s="6" t="n">
        <v>1755000</v>
      </c>
    </row>
    <row r="9">
      <c r="A9" t="inlineStr">
        <is>
          <t>Food Wastage</t>
        </is>
      </c>
      <c r="B9" s="6" t="n">
        <v>210600</v>
      </c>
    </row>
    <row r="10">
      <c r="A10" t="inlineStr">
        <is>
          <t>LPG / Fuel</t>
        </is>
      </c>
      <c r="B10" s="6" t="n">
        <v>55000</v>
      </c>
    </row>
    <row r="11">
      <c r="A11" t="inlineStr">
        <is>
          <t>Water</t>
        </is>
      </c>
      <c r="B11" s="6" t="n">
        <v>18000</v>
      </c>
    </row>
    <row r="12">
      <c r="A12" t="inlineStr">
        <is>
          <t>Packaging</t>
        </is>
      </c>
      <c r="B12" s="6" t="n">
        <v>12000</v>
      </c>
    </row>
    <row r="13">
      <c r="A13" t="inlineStr">
        <is>
          <t>Staff Salaries</t>
        </is>
      </c>
      <c r="B13" s="6" t="n">
        <v>220000</v>
      </c>
    </row>
    <row r="14">
      <c r="A14" t="inlineStr">
        <is>
          <t>Electricity</t>
        </is>
      </c>
      <c r="B14" s="6" t="n">
        <v>45000</v>
      </c>
    </row>
    <row r="15">
      <c r="A15" t="inlineStr">
        <is>
          <t>Maintenance</t>
        </is>
      </c>
      <c r="B15" s="6" t="n">
        <v>20000</v>
      </c>
    </row>
    <row r="16">
      <c r="A16" t="inlineStr">
        <is>
          <t>Rent</t>
        </is>
      </c>
      <c r="B16" s="6" t="n">
        <v>60000</v>
      </c>
    </row>
    <row r="17">
      <c r="A17" t="inlineStr">
        <is>
          <t>Insurance &amp; Misc</t>
        </is>
      </c>
      <c r="B17" s="6" t="n">
        <v>15000</v>
      </c>
    </row>
    <row r="20">
      <c r="A20" s="2" t="inlineStr">
        <is>
          <t>Metric</t>
        </is>
      </c>
      <c r="B20" s="2" t="inlineStr">
        <is>
          <t>Amount (₹)</t>
        </is>
      </c>
    </row>
    <row r="21">
      <c r="A21" t="inlineStr">
        <is>
          <t>Revenue</t>
        </is>
      </c>
      <c r="B21" s="6" t="n">
        <v>2925000</v>
      </c>
    </row>
    <row r="22">
      <c r="A22" t="inlineStr">
        <is>
          <t>Variable Costs</t>
        </is>
      </c>
      <c r="B22" s="6" t="n">
        <v>2050600</v>
      </c>
    </row>
    <row r="23">
      <c r="A23" t="inlineStr">
        <is>
          <t>Fixed Costs</t>
        </is>
      </c>
      <c r="B23" s="6" t="n">
        <v>360000</v>
      </c>
    </row>
    <row r="24">
      <c r="A24" t="inlineStr">
        <is>
          <t>Net Profit</t>
        </is>
      </c>
      <c r="B24" s="6" t="n">
        <v>514400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Consulting Insights &amp; Recommendations</t>
        </is>
      </c>
    </row>
    <row r="3">
      <c r="A3" s="5" t="inlineStr">
        <is>
          <t>1. KEY INEFFICIENCIES IDENTIFIED</t>
        </is>
      </c>
    </row>
    <row r="4">
      <c r="A4" s="20" t="inlineStr">
        <is>
          <t xml:space="preserve">  •  Food wastage at 12.0% translates to ₹210,600/month of avoidable cost.</t>
        </is>
      </c>
    </row>
    <row r="5">
      <c r="A5" s="20" t="inlineStr">
        <is>
          <t xml:space="preserve">  •  No dynamic menu planning — fixed menu leads to predictable over-production on low-attendance days.</t>
        </is>
      </c>
    </row>
    <row r="6">
      <c r="A6" s="20" t="inlineStr">
        <is>
          <t xml:space="preserve">  •  Energy &amp; fuel costs (LPG + electricity) represent a combined ~3.4% of revenue with no efficiency monitoring.</t>
        </is>
      </c>
    </row>
    <row r="7">
      <c r="A7" s="20" t="inlineStr">
        <is>
          <t xml:space="preserve">  •  Manual inventory management causes 5-8% over-ordering of perishable goods.</t>
        </is>
      </c>
    </row>
    <row r="8">
      <c r="A8" s="20" t="inlineStr">
        <is>
          <t xml:space="preserve">  •  Break-even point at 536 students leaves thin safety margin.</t>
        </is>
      </c>
    </row>
    <row r="10">
      <c r="A10" s="5" t="inlineStr">
        <is>
          <t>2. ROOT CAUSE ANALYSIS</t>
        </is>
      </c>
    </row>
    <row r="11">
      <c r="A11" s="20" t="inlineStr">
        <is>
          <t xml:space="preserve">  •  Wastage: Absence of attendance-based demand forecasting; batch cooking without portion control.</t>
        </is>
      </c>
    </row>
    <row r="12">
      <c r="A12" s="20" t="inlineStr">
        <is>
          <t xml:space="preserve">  •  Energy: Aged kitchen equipment (&gt;5 yrs); no sub-metering for consumption tracking.</t>
        </is>
      </c>
    </row>
    <row r="13">
      <c r="A13" s="20" t="inlineStr">
        <is>
          <t xml:space="preserve">  •  Procurement: No vendor benchmarking; reliance on single supplier inflates raw material cost.</t>
        </is>
      </c>
    </row>
    <row r="14">
      <c r="A14" s="20" t="inlineStr">
        <is>
          <t xml:space="preserve">  •  Pricing: Mess fee has not been revised in 2+ years despite 8-10% food inflation.</t>
        </is>
      </c>
    </row>
    <row r="16">
      <c r="A16" s="5" t="inlineStr">
        <is>
          <t>3. RECOMMENDATIONS</t>
        </is>
      </c>
    </row>
    <row r="17">
      <c r="A17" s="20" t="inlineStr">
        <is>
          <t xml:space="preserve">  •  QUICK WIN — Implement meal pre-booking app to forecast daily demand (est. 40% wastage reduction).</t>
        </is>
      </c>
    </row>
    <row r="18">
      <c r="A18" s="20" t="inlineStr">
        <is>
          <t xml:space="preserve">  •  Negotiate bulk/multi-vendor procurement; target 5-7% raw material savings.</t>
        </is>
      </c>
    </row>
    <row r="19">
      <c r="A19" s="20" t="inlineStr">
        <is>
          <t xml:space="preserve">  •  Install sub-metering and switch to energy-efficient equipment; target 5% energy reduction.</t>
        </is>
      </c>
    </row>
    <row r="20">
      <c r="A20" s="20" t="inlineStr">
        <is>
          <t xml:space="preserve">  •  Revise mess fee by ₹200/month (4.4% increase, still below market rate of ₹5,000+).</t>
        </is>
      </c>
    </row>
    <row r="21">
      <c r="A21" s="20" t="inlineStr">
        <is>
          <t xml:space="preserve">  •  Introduce weekend opt-out system to reduce per-meal variable cost.</t>
        </is>
      </c>
    </row>
    <row r="23">
      <c r="A23" s="5" t="inlineStr">
        <is>
          <t>4. ESTIMATED FINANCIAL IMPROVEMENT</t>
        </is>
      </c>
    </row>
    <row r="24">
      <c r="A24" s="20" t="inlineStr">
        <is>
          <t xml:space="preserve">  •  Base Case Profit:           ₹     514,400   (17.59% margin)</t>
        </is>
      </c>
    </row>
    <row r="25">
      <c r="A25" s="20" t="inlineStr">
        <is>
          <t xml:space="preserve">  •  Optimised Scenario Profit:  ₹     826,800   (27.06% margin)</t>
        </is>
      </c>
    </row>
    <row r="26">
      <c r="A26" s="20" t="inlineStr">
        <is>
          <t xml:space="preserve">  •  Incremental Profit Gain:    ₹     312,400/month</t>
        </is>
      </c>
    </row>
    <row r="27">
      <c r="A27" s="20" t="inlineStr">
        <is>
          <t xml:space="preserve">  •  Annualised Improvement:     ₹   3,748,800/year</t>
        </is>
      </c>
    </row>
    <row r="28">
      <c r="A28" s="20" t="inlineStr">
        <is>
          <t xml:space="preserve">  •  Margin Uplift:              9.47 pp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Project Summary — Resume Ready</t>
        </is>
      </c>
    </row>
    <row r="3">
      <c r="A3" s="5" t="inlineStr">
        <is>
          <t>PROJECT TITLE</t>
        </is>
      </c>
    </row>
    <row r="4">
      <c r="A4" s="20" t="inlineStr">
        <is>
          <t xml:space="preserve">  College Mess Profitability Optimization Model</t>
        </is>
      </c>
    </row>
    <row r="6">
      <c r="A6" s="5" t="inlineStr">
        <is>
          <t>OBJECTIVE</t>
        </is>
      </c>
    </row>
    <row r="7">
      <c r="A7" s="20" t="inlineStr">
        <is>
          <t xml:space="preserve">  Developed a consulting-grade financial model to analyze the profitability,</t>
        </is>
      </c>
    </row>
    <row r="8">
      <c r="A8" s="20" t="inlineStr">
        <is>
          <t xml:space="preserve">  cost structure, and optimization levers of an Indian college hostel mess</t>
        </is>
      </c>
    </row>
    <row r="9">
      <c r="A9" s="20" t="inlineStr">
        <is>
          <t xml:space="preserve">  serving 650+ students, with actionable recommendations to improve margins.</t>
        </is>
      </c>
    </row>
    <row r="11">
      <c r="A11" s="5" t="inlineStr">
        <is>
          <t>METHODOLOGY</t>
        </is>
      </c>
    </row>
    <row r="12">
      <c r="A12" s="20" t="inlineStr">
        <is>
          <t xml:space="preserve">  1. Built a bottom-up P&amp;L model with granular cost drivers (13 line items).</t>
        </is>
      </c>
    </row>
    <row r="13">
      <c r="A13" s="20" t="inlineStr">
        <is>
          <t xml:space="preserve">  2. Ran 11 optimization scenarios across 3 levers: wastage reduction,</t>
        </is>
      </c>
    </row>
    <row r="14">
      <c r="A14" s="20" t="inlineStr">
        <is>
          <t xml:space="preserve">     operational efficiency, and pricing adjustments.</t>
        </is>
      </c>
    </row>
    <row r="15">
      <c r="A15" s="20" t="inlineStr">
        <is>
          <t xml:space="preserve">  3. Conducted root-cause analysis of key cost inefficiencies.</t>
        </is>
      </c>
    </row>
    <row r="16">
      <c r="A16" s="20" t="inlineStr">
        <is>
          <t xml:space="preserve">  4. Quantified financial impact of recommendations using scenario modeling.</t>
        </is>
      </c>
    </row>
    <row r="18">
      <c r="A18" s="5" t="inlineStr">
        <is>
          <t>TOOLS USED</t>
        </is>
      </c>
    </row>
    <row r="19">
      <c r="A19" s="20" t="inlineStr">
        <is>
          <t xml:space="preserve">  Python (openpyxl), Microsoft Excel, Financial Modeling, Scenario Analysis</t>
        </is>
      </c>
    </row>
    <row r="21">
      <c r="A21" s="5" t="inlineStr">
        <is>
          <t>KEY IMPACT</t>
        </is>
      </c>
    </row>
    <row r="22">
      <c r="A22" s="20" t="inlineStr">
        <is>
          <t xml:space="preserve">  • Identified ₹210,600/month in avoidable food wastage costs.</t>
        </is>
      </c>
    </row>
    <row r="23">
      <c r="A23" s="20" t="inlineStr">
        <is>
          <t xml:space="preserve">  • Demonstrated path to improve profit margin from 17.6% to 27.1%.</t>
        </is>
      </c>
    </row>
    <row r="24">
      <c r="A24" s="20" t="inlineStr">
        <is>
          <t xml:space="preserve">  • Quantified ₹3,748,800 annualized profit improvement potential.</t>
        </is>
      </c>
    </row>
    <row r="25">
      <c r="A25" s="20" t="inlineStr">
        <is>
          <t xml:space="preserve">  • Delivered executive dashboard and BCG/Bain-style insights deck.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2026-02-24T21:33:58Z</dcterms:created>
  <dcterms:modified xsi:type="dcterms:W3CDTF">2026-02-24T21:33:58Z</dcterms:modified>
</cp:coreProperties>
</file>